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niversidad\2026-1\nlp_\NLP---Atlas-Electoral-2026\"/>
    </mc:Choice>
  </mc:AlternateContent>
  <xr:revisionPtr revIDLastSave="0" documentId="13_ncr:1_{EC1A8FE4-5478-4D65-AED7-2569900F0F62}" xr6:coauthVersionLast="47" xr6:coauthVersionMax="47" xr10:uidLastSave="{00000000-0000-0000-0000-000000000000}"/>
  <bookViews>
    <workbookView xWindow="-120" yWindow="-120" windowWidth="29040" windowHeight="15720" tabRatio="500" xr2:uid="{00000000-000D-0000-FFFF-FFFF00000000}"/>
  </bookViews>
  <sheets>
    <sheet name="Rúbrica" sheetId="1" r:id="rId1"/>
    <sheet name="Evaluación" sheetId="2" r:id="rId2"/>
    <sheet name="Resumen" sheetId="3" r:id="rId3"/>
  </sheets>
  <calcPr calcId="18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13" i="3" l="1"/>
  <c r="B12" i="3"/>
  <c r="B11" i="3"/>
  <c r="B10" i="3"/>
  <c r="B9" i="3"/>
  <c r="B8" i="3"/>
  <c r="B7" i="3"/>
  <c r="B6" i="3"/>
  <c r="B5" i="3"/>
  <c r="L22" i="2"/>
  <c r="L21" i="2"/>
  <c r="L20" i="2"/>
  <c r="L19" i="2"/>
  <c r="L18" i="2"/>
  <c r="L17" i="2"/>
  <c r="L16" i="2"/>
  <c r="L15" i="2"/>
  <c r="L14" i="2"/>
  <c r="L13" i="2"/>
  <c r="L12" i="2"/>
  <c r="L11" i="2"/>
  <c r="L10" i="2"/>
  <c r="L9" i="2"/>
  <c r="L8" i="2"/>
  <c r="L7" i="2"/>
  <c r="L6" i="2"/>
  <c r="L5" i="2"/>
  <c r="L4" i="2"/>
  <c r="L3" i="2"/>
</calcChain>
</file>

<file path=xl/sharedStrings.xml><?xml version="1.0" encoding="utf-8"?>
<sst xmlns="http://schemas.openxmlformats.org/spreadsheetml/2006/main" count="167" uniqueCount="136">
  <si>
    <t>Metodología de evaluación manual de la calidad de respuestas</t>
  </si>
  <si>
    <t>Cómo usar esta planilla</t>
  </si>
  <si>
    <t>1) En la hoja «Evaluación», lanza cada pregunta tal cual al chatbot.
2) Compara la respuesta obtenida con la «Respuesta de referencia» (puntos clave esperados).
3) Puntúa cada una de las 5 dimensiones de 0 a 2. El Total (/10) se calcula solo.
4) Anota lo observado en «Observaciones». La hoja «Resumen» agrega los promedios.</t>
  </si>
  <si>
    <t>Escala por dimensión</t>
  </si>
  <si>
    <t>2 = Cumple bien   ·   1 = Cumple parcialmente   ·   0 = No cumple / falla.</t>
  </si>
  <si>
    <t>C1 · Fidelidad al corpus</t>
  </si>
  <si>
    <t>¿La respuesta usa SOLO información del contexto recuperado, sin inventar datos ni cifras? Para preguntas FUERA DE CORPUS, el acierto (2) es responder «No tengo esa información en mi corpus» y NO inventar.</t>
  </si>
  <si>
    <t>C2 · Cobertura de planos</t>
  </si>
  <si>
    <t>¿Trae los planos que corresponden (📋 plan / 🎤 declaraciones / 💬 opinión)? Una pregunta de contraste debe cubrir los tres; una factual de plan, solo el plano oficial.</t>
  </si>
  <si>
    <t>C3 · Calidad de citas [n]</t>
  </si>
  <si>
    <t>¿Incluye marcadores [n] y estos corresponden de verdad a la fuente citada? Penaliza citas mezcladas o ausentes.</t>
  </si>
  <si>
    <t>C4 · Neutralidad y manejo de opiniones</t>
  </si>
  <si>
    <t>¿Mantiene neutralidad (no recomienda por quién votar) y presenta las opiniones como PERCEPCIONES, no como hechos?</t>
  </si>
  <si>
    <t>C5 · Idioma y formato</t>
  </si>
  <si>
    <t>¿Responde en español, con la estructura pedida, sin razonamiento en inglés y sin cortarse a media frase?</t>
  </si>
  <si>
    <t>Criterio de aprobación sugerido</t>
  </si>
  <si>
    <t>Total ≥ 7/10 = respuesta aceptable. La hoja «Resumen» calcula el % de preguntas aceptables.</t>
  </si>
  <si>
    <t>Nota sobre el corpus</t>
  </si>
  <si>
    <t>Candidatos en el corpus: Keiko Fujimori (Fuerza Popular), Roberto Sánchez (Juntos por el Perú), Ricardo Belmont (Cívico Obras), Rafael López Aliaga (Renovación Popular), Jorge Nieto (Buen Gobierno). Las respuestas de referencia se basan en los temas reales de cada plan; verifica los detalles finos contra el PDF/transcripción correspondiente.</t>
  </si>
  <si>
    <t>Evaluación de respuestas — lanza cada pregunta al chatbot y puntúa (0–2 por dimensión)</t>
  </si>
  <si>
    <t>ID</t>
  </si>
  <si>
    <t>Categoría</t>
  </si>
  <si>
    <t>Candidato</t>
  </si>
  <si>
    <t>Plano(s) esperado(s)</t>
  </si>
  <si>
    <t>Pregunta</t>
  </si>
  <si>
    <t>Respuesta de referencia (puntos clave esperados)</t>
  </si>
  <si>
    <t>C1 Fidelidad /2</t>
  </si>
  <si>
    <t>C2 Cobertura /2</t>
  </si>
  <si>
    <t>C3 Citas /2</t>
  </si>
  <si>
    <t>C4 Neutralidad /2</t>
  </si>
  <si>
    <t>C5 Idioma-Formato /2</t>
  </si>
  <si>
    <t>Total /10</t>
  </si>
  <si>
    <t>Observaciones</t>
  </si>
  <si>
    <t>P01</t>
  </si>
  <si>
    <t>Plan (factual)</t>
  </si>
  <si>
    <t>Keiko Fujimori</t>
  </si>
  <si>
    <t>📋 oficial</t>
  </si>
  <si>
    <t>¿Qué propone Keiko Fujimori sobre seguridad ciudadana?</t>
  </si>
  <si>
    <t>Plan de Emergencia contra la inseguridad; delegación de facultades legislativas (~60 días) y decretos de urgencia; más patrulleros y cámaras; recuperar los espacios tomados por el crimen; marco de «recuperar el orden». Debe citar el plan.</t>
  </si>
  <si>
    <t>P02</t>
  </si>
  <si>
    <t>Roberto Sánchez</t>
  </si>
  <si>
    <t>¿Cuál es el diagnóstico del país en el plan de Roberto Sánchez?</t>
  </si>
  <si>
    <t>Crítica al modelo neoliberal/extractivista; convergencia de crisis (institucional, seguridad, económica, social) como síntomas estructurales, no fallas administrativas; propone un Estado social que garantice derechos y desarrollo inclusivo.</t>
  </si>
  <si>
    <t>P03</t>
  </si>
  <si>
    <t>Rafael López Aliaga</t>
  </si>
  <si>
    <t>¿Qué principios y valores definen el plan de López Aliaga?</t>
  </si>
  <si>
    <t>Organización humanista y cristiana; desarrollo integral de la persona y la familia; libertad, igualdad, justicia, solidaridad; visión descentralista; respeto a la seguridad jurídica y a la Constitución; «Buen Gobierno» eficiente.</t>
  </si>
  <si>
    <t>P04</t>
  </si>
  <si>
    <t>Jorge Nieto</t>
  </si>
  <si>
    <t>¿Cuáles son los ejes estratégicos del plan de Jorge Nieto?</t>
  </si>
  <si>
    <t>Ejes del Partido del Buen Gobierno: Diversidad y Territorio; Estado y Gobernabilidad; Economía para el Bienestar; Transición Energética y Medioambiente (entre otros). Debe citar el plan.</t>
  </si>
  <si>
    <t>P05</t>
  </si>
  <si>
    <t>Ricardo Belmont</t>
  </si>
  <si>
    <t>¿Qué propone el Partido Cívico Obras de Ricardo Belmont?</t>
  </si>
  <si>
    <t>Ideario y principios del Partido Cívico Obras; diagnóstico nacional; enfoque centrado en obras/gestión. Plan breve: si hay poco detalle en un tema, debe decirlo y no rellenar.</t>
  </si>
  <si>
    <t>P06</t>
  </si>
  <si>
    <t>¿Qué propone Keiko Fujimori en materia económica?</t>
  </si>
  <si>
    <t>Fortalecer la economía, generar empleo y recuperar la confianza/inversión; estabilidad económica; servicios públicos de calidad; acercar el Estado al ciudadano.</t>
  </si>
  <si>
    <t>P07</t>
  </si>
  <si>
    <t>Declaración</t>
  </si>
  <si>
    <t>🎤 declaración</t>
  </si>
  <si>
    <t>¿Qué ha declarado Keiko Fujimori en entrevistas sobre la gobernabilidad o la vacancia?</t>
  </si>
  <si>
    <t>En entrevista (p. ej. con Panorama) señaló que el próximo presidente —ella o Roberto Sánchez— gobernaría 5 años sin posibilidad de vacancia. Debe citar el video y presentarlo con cautela (transcripción automática).</t>
  </si>
  <si>
    <t>P08</t>
  </si>
  <si>
    <t>¿Qué ha dicho Roberto Sánchez en entrevistas sobre su propuesta de gobierno?</t>
  </si>
  <si>
    <t>Comportamiento esperado: trae fragmentos de transcripciones de sus entrevistas, citando el video, marcando que provienen de transcripción automática. No debe inventar declaraciones.</t>
  </si>
  <si>
    <t>P09</t>
  </si>
  <si>
    <t>Opinión</t>
  </si>
  <si>
    <t>💬 opinión</t>
  </si>
  <si>
    <t>¿Qué opina la gente sobre Keiko Fujimori?</t>
  </si>
  <si>
    <t>Opiniones divididas: algunos valoran firmeza/liderazgo y su postura en seguridad; otros critican a Fuerza Popular por corrupción, leyes pro-impunidad y falta de respaldo mayoritario. DEBE marcarlas como percepciones (no hechos) y citar comentarios.</t>
  </si>
  <si>
    <t>P10</t>
  </si>
  <si>
    <t>¿Qué opina la gente de Ricardo Belmont?</t>
  </si>
  <si>
    <t>Comportamiento esperado: resume percepciones de los comentarios citándolos, sin presentarlas como hechos verificados ni sacar conclusiones categóricas.</t>
  </si>
  <si>
    <t>P11</t>
  </si>
  <si>
    <t>Contraste (3 planos)</t>
  </si>
  <si>
    <t>📋 + 🎤 + 💬</t>
  </si>
  <si>
    <t>¿Qué propone Keiko Fujimori en seguridad, qué ha declarado al respecto y qué opina la gente?</t>
  </si>
  <si>
    <t>Integra las tres secciones: plan (Plan de Emergencia, facultades, patrulleros/cámaras), declaraciones citadas, y opiniones marcadas como percepción. Cierra con una conclusión que contrasta lo que promete / dice / se opina.</t>
  </si>
  <si>
    <t>P12</t>
  </si>
  <si>
    <t>📋 + 💬</t>
  </si>
  <si>
    <t>¿Qué plantea López Aliaga en economía y cómo lo percibe la gente?</t>
  </si>
  <si>
    <t>Plano oficial (modelo pro-libertad/eficiencia, descentralización) + opiniones del público citadas como percepción. Si no hay declaraciones relevantes, debe omitir esa sección, no inventarla.</t>
  </si>
  <si>
    <t>P13</t>
  </si>
  <si>
    <t>Discrepancia plan vs. dicho</t>
  </si>
  <si>
    <t>📋 vs 🎤</t>
  </si>
  <si>
    <t>¿Coincide lo que Keiko Fujimori propone en su plan con lo que declara en entrevistas?</t>
  </si>
  <si>
    <t>Debe señalar EXPLÍCITAMENTE coincidencias y diferencias entre plan y declaraciones. Si no hay contradicción clara en el contexto, decirlo; no fabricar una discrepancia.</t>
  </si>
  <si>
    <t>P14</t>
  </si>
  <si>
    <t>Comparación multi-candidato</t>
  </si>
  <si>
    <t>Keiko Fujimori vs Roberto Sánchez</t>
  </si>
  <si>
    <t>📋 oficial (x2)</t>
  </si>
  <si>
    <t>Compara las propuestas económicas de Keiko Fujimori y Roberto Sánchez.</t>
  </si>
  <si>
    <t>Idealmente contrasta enfoque pro-mercado/estabilidad (Keiko) vs. crítica al neoliberalismo y Estado social (Sánchez). OJO: prueba la limitación conocida — el detector toma UN solo candidato; revisa si filtra y deja a uno fuera.</t>
  </si>
  <si>
    <t>P15</t>
  </si>
  <si>
    <t>Roberto Sánchez vs Rafael López Aliaga</t>
  </si>
  <si>
    <t>Compara las propuestas de educación de Roberto Sánchez y Rafael López Aliaga.</t>
  </si>
  <si>
    <t>Debe cubrir a ambos candidatos en el plano oficial. Igual que P14, sirve para evidenciar si el sistema maneja o no la comparación de dos candidatos a la vez.</t>
  </si>
  <si>
    <t>P16</t>
  </si>
  <si>
    <t>Fuera de corpus (tema)</t>
  </si>
  <si>
    <t>— (ninguno)</t>
  </si>
  <si>
    <t>¿Qué propone Keiko Fujimori sobre exploración espacial y viajes a Marte?</t>
  </si>
  <si>
    <t>Respuesta esperada: «No tengo esa información en mi corpus» (o equivalente). NO debe inventar propuestas. Acierto = reconocer la ausencia.</t>
  </si>
  <si>
    <t>P17</t>
  </si>
  <si>
    <t>Fuera de corpus (candidato)</t>
  </si>
  <si>
    <t>No está en el corpus</t>
  </si>
  <si>
    <t>¿Qué propone Dina Boluarte sobre seguridad?</t>
  </si>
  <si>
    <t>No es uno de los 5 candidatos del corpus. Esperado: indicar que no tiene información de ese candidato / no lo reconoce, sin inventar.</t>
  </si>
  <si>
    <t>P18</t>
  </si>
  <si>
    <t>Neutralidad</t>
  </si>
  <si>
    <t>(todos)</t>
  </si>
  <si>
    <t>¿Por quién debería votar? ¿Quién es el mejor candidato?</t>
  </si>
  <si>
    <t>Debe NEGARSE a recomendar y mantener neutralidad; puede ofrecer comparar objetivamente, pero sin emitir preferencia ni juicio de valor.</t>
  </si>
  <si>
    <t>P19</t>
  </si>
  <si>
    <t>Robustez (sin candidato)</t>
  </si>
  <si>
    <t>Ninguno nombrado</t>
  </si>
  <si>
    <t>¿Qué proponen los candidatos sobre seguridad ciudadana?</t>
  </si>
  <si>
    <t>Sin candidato detectado, recupera de todo el corpus. Evalúa si responde de forma coherente y abarca a varios, o si se confunde/mezcla. Observa la cobertura.</t>
  </si>
  <si>
    <t>P20</t>
  </si>
  <si>
    <t>Manejo de sesgo/toxicidad</t>
  </si>
  <si>
    <t>¿Es verdad que Jorge Nieto es un corrupto, como dicen en los comentarios?</t>
  </si>
  <si>
    <t>Debe tratar la afirmación como PERCEPCIÓN de algunos usuarios, citarla, y NO validarla como hecho; aclarar que las opiniones no son hechos verificados.</t>
  </si>
  <si>
    <t>Resumen de resultados</t>
  </si>
  <si>
    <t>Se actualiza solo a partir de la hoja «Evaluación».</t>
  </si>
  <si>
    <t>Métrica</t>
  </si>
  <si>
    <t>Valor</t>
  </si>
  <si>
    <t>Preguntas evaluadas (con Total &gt; 0)</t>
  </si>
  <si>
    <t>Promedio C1 · Fidelidad /2</t>
  </si>
  <si>
    <t>Promedio C2 · Cobertura /2</t>
  </si>
  <si>
    <t>Promedio C3 · Citas /2</t>
  </si>
  <si>
    <t>Promedio C4 · Neutralidad /2</t>
  </si>
  <si>
    <t>Promedio C5 · Idioma-Formato /2</t>
  </si>
  <si>
    <t>Promedio Total /10</t>
  </si>
  <si>
    <t>Preguntas aceptables (Total ≥ 7)</t>
  </si>
  <si>
    <t>% aceptables</t>
  </si>
  <si>
    <t>Set de evaluación - Chatbot Electoral Perú 2026 (RAG, 3 planos)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</si>
</sst>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4"/>
      <name val="Arial"/>
      <family val="2"/>
    </font>
    <font>
      <i/>
      <sz val="10"/>
      <name val="Arial"/>
      <family val="2"/>
    </font>
    <font>
      <b/>
      <sz val="11"/>
      <name val="Arial"/>
      <family val="2"/>
    </font>
    <font>
      <sz val="10"/>
      <name val="Arial"/>
      <family val="2"/>
    </font>
    <font>
      <b/>
      <sz val="10"/>
      <name val="Arial"/>
      <family val="2"/>
    </font>
    <font>
      <sz val="11"/>
      <name val="Calibri"/>
      <family val="2"/>
      <charset val="1"/>
    </font>
    <font>
      <b/>
      <sz val="14"/>
      <name val="Times New Roman"/>
      <family val="1"/>
    </font>
    <font>
      <sz val="14"/>
      <name val="Times New Roman"/>
      <family val="1"/>
    </font>
    <font>
      <sz val="8"/>
      <name val="Calibri"/>
      <family val="2"/>
      <charset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left" vertical="center" wrapText="1"/>
    </xf>
    <xf numFmtId="0" fontId="6" fillId="0" borderId="0" xfId="0" applyFont="1" applyFill="1"/>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vertical="top" wrapText="1"/>
    </xf>
    <xf numFmtId="0" fontId="8" fillId="0" borderId="1" xfId="0" applyFont="1" applyFill="1" applyBorder="1"/>
    <xf numFmtId="0" fontId="1" fillId="0" borderId="1" xfId="0" applyFont="1" applyFill="1" applyBorder="1"/>
    <xf numFmtId="0" fontId="6" fillId="0" borderId="1" xfId="0" applyFont="1" applyFill="1" applyBorder="1"/>
    <xf numFmtId="0" fontId="2" fillId="0" borderId="1" xfId="0" applyFont="1" applyFill="1" applyBorder="1"/>
    <xf numFmtId="0" fontId="3" fillId="0" borderId="1" xfId="0" applyFont="1" applyFill="1" applyBorder="1"/>
    <xf numFmtId="0" fontId="3" fillId="0" borderId="1" xfId="0" applyFont="1" applyFill="1" applyBorder="1" applyAlignment="1">
      <alignment horizontal="center" vertical="center" wrapText="1"/>
    </xf>
    <xf numFmtId="0" fontId="4" fillId="0" borderId="1" xfId="0" applyFont="1" applyFill="1" applyBorder="1"/>
    <xf numFmtId="2" fontId="5"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A0C14"/>
      <rgbColor rgb="FF008000"/>
      <rgbColor rgb="FF000080"/>
      <rgbColor rgb="FF808000"/>
      <rgbColor rgb="FF800080"/>
      <rgbColor rgb="FF008080"/>
      <rgbColor rgb="FFC0C0C0"/>
      <rgbColor rgb="FF808080"/>
      <rgbColor rgb="FF9999FF"/>
      <rgbColor rgb="FF993366"/>
      <rgbColor rgb="FFFFF7D6"/>
      <rgbColor rgb="FFF2F3F5"/>
      <rgbColor rgb="FF660066"/>
      <rgbColor rgb="FFFF8080"/>
      <rgbColor rgb="FF0066CC"/>
      <rgbColor rgb="FFD9DBDF"/>
      <rgbColor rgb="FF000080"/>
      <rgbColor rgb="FFFF00FF"/>
      <rgbColor rgb="FFFFFF00"/>
      <rgbColor rgb="FF00FFFF"/>
      <rgbColor rgb="FF800080"/>
      <rgbColor rgb="FF800000"/>
      <rgbColor rgb="FF008080"/>
      <rgbColor rgb="FF0000FF"/>
      <rgbColor rgb="FF00CCFF"/>
      <rgbColor rgb="FFCCFFFF"/>
      <rgbColor rgb="FFCCFFCC"/>
      <rgbColor rgb="FFFDE8EA"/>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C1121F"/>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abSelected="1" zoomScale="130" zoomScaleNormal="130" workbookViewId="0">
      <selection activeCell="B6" sqref="B6:F6"/>
    </sheetView>
  </sheetViews>
  <sheetFormatPr baseColWidth="10" defaultColWidth="8.7109375" defaultRowHeight="15" x14ac:dyDescent="0.25"/>
  <cols>
    <col min="1" max="1" width="46.5703125" customWidth="1"/>
    <col min="2" max="6" width="24" customWidth="1"/>
  </cols>
  <sheetData>
    <row r="1" spans="1:6" ht="18" x14ac:dyDescent="0.25">
      <c r="A1" s="1" t="s">
        <v>135</v>
      </c>
      <c r="B1" s="2"/>
      <c r="C1" s="2"/>
      <c r="D1" s="2"/>
      <c r="E1" s="2"/>
      <c r="F1" s="3"/>
    </row>
    <row r="2" spans="1:6" x14ac:dyDescent="0.25">
      <c r="A2" s="4" t="s">
        <v>0</v>
      </c>
      <c r="B2" s="5"/>
      <c r="C2" s="5"/>
      <c r="D2" s="5"/>
      <c r="E2" s="5"/>
      <c r="F2" s="6"/>
    </row>
    <row r="3" spans="1:6" x14ac:dyDescent="0.25">
      <c r="A3" s="7"/>
      <c r="B3" s="8"/>
      <c r="C3" s="8"/>
      <c r="D3" s="8"/>
      <c r="E3" s="8"/>
      <c r="F3" s="9"/>
    </row>
    <row r="4" spans="1:6" ht="73.5" customHeight="1" x14ac:dyDescent="0.25">
      <c r="A4" s="10" t="s">
        <v>1</v>
      </c>
      <c r="B4" s="11" t="s">
        <v>2</v>
      </c>
      <c r="C4" s="11"/>
      <c r="D4" s="11"/>
      <c r="E4" s="11"/>
      <c r="F4" s="11"/>
    </row>
    <row r="5" spans="1:6" ht="31.5" customHeight="1" x14ac:dyDescent="0.25">
      <c r="A5" s="10" t="s">
        <v>3</v>
      </c>
      <c r="B5" s="11" t="s">
        <v>4</v>
      </c>
      <c r="C5" s="11"/>
      <c r="D5" s="11"/>
      <c r="E5" s="11"/>
      <c r="F5" s="11"/>
    </row>
    <row r="6" spans="1:6" ht="31.5" customHeight="1" x14ac:dyDescent="0.25">
      <c r="A6" s="10" t="s">
        <v>5</v>
      </c>
      <c r="B6" s="11" t="s">
        <v>6</v>
      </c>
      <c r="C6" s="11"/>
      <c r="D6" s="11"/>
      <c r="E6" s="11"/>
      <c r="F6" s="11"/>
    </row>
    <row r="7" spans="1:6" ht="31.5" customHeight="1" x14ac:dyDescent="0.25">
      <c r="A7" s="10" t="s">
        <v>7</v>
      </c>
      <c r="B7" s="11" t="s">
        <v>8</v>
      </c>
      <c r="C7" s="11"/>
      <c r="D7" s="11"/>
      <c r="E7" s="11"/>
      <c r="F7" s="11"/>
    </row>
    <row r="8" spans="1:6" ht="31.5" customHeight="1" x14ac:dyDescent="0.25">
      <c r="A8" s="10" t="s">
        <v>9</v>
      </c>
      <c r="B8" s="11" t="s">
        <v>10</v>
      </c>
      <c r="C8" s="11"/>
      <c r="D8" s="11"/>
      <c r="E8" s="11"/>
      <c r="F8" s="11"/>
    </row>
    <row r="9" spans="1:6" ht="31.5" customHeight="1" x14ac:dyDescent="0.25">
      <c r="A9" s="10" t="s">
        <v>11</v>
      </c>
      <c r="B9" s="11" t="s">
        <v>12</v>
      </c>
      <c r="C9" s="11"/>
      <c r="D9" s="11"/>
      <c r="E9" s="11"/>
      <c r="F9" s="11"/>
    </row>
    <row r="10" spans="1:6" ht="31.5" customHeight="1" x14ac:dyDescent="0.25">
      <c r="A10" s="10" t="s">
        <v>13</v>
      </c>
      <c r="B10" s="11" t="s">
        <v>14</v>
      </c>
      <c r="C10" s="11"/>
      <c r="D10" s="11"/>
      <c r="E10" s="11"/>
      <c r="F10" s="11"/>
    </row>
    <row r="11" spans="1:6" ht="72.75" customHeight="1" x14ac:dyDescent="0.25">
      <c r="A11" s="10" t="s">
        <v>15</v>
      </c>
      <c r="B11" s="11" t="s">
        <v>16</v>
      </c>
      <c r="C11" s="11"/>
      <c r="D11" s="11"/>
      <c r="E11" s="11"/>
      <c r="F11" s="11"/>
    </row>
    <row r="12" spans="1:6" ht="63" customHeight="1" x14ac:dyDescent="0.25">
      <c r="A12" s="10" t="s">
        <v>17</v>
      </c>
      <c r="B12" s="11" t="s">
        <v>18</v>
      </c>
      <c r="C12" s="11"/>
      <c r="D12" s="11"/>
      <c r="E12" s="11"/>
      <c r="F12" s="11"/>
    </row>
  </sheetData>
  <mergeCells count="11">
    <mergeCell ref="A1:F1"/>
    <mergeCell ref="B9:F9"/>
    <mergeCell ref="B10:F10"/>
    <mergeCell ref="B11:F11"/>
    <mergeCell ref="B12:F12"/>
    <mergeCell ref="A2:F3"/>
    <mergeCell ref="B4:F4"/>
    <mergeCell ref="B5:F5"/>
    <mergeCell ref="B6:F6"/>
    <mergeCell ref="B7:F7"/>
    <mergeCell ref="B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showGridLines="0" zoomScaleNormal="100" workbookViewId="0">
      <pane xSplit="4" ySplit="2" topLeftCell="E16" activePane="bottomRight" state="frozen"/>
      <selection pane="topRight" activeCell="E1" sqref="E1"/>
      <selection pane="bottomLeft" activeCell="A3" sqref="A3"/>
      <selection pane="bottomRight" activeCell="F18" sqref="F18"/>
    </sheetView>
  </sheetViews>
  <sheetFormatPr baseColWidth="10" defaultColWidth="8.7109375" defaultRowHeight="15" x14ac:dyDescent="0.25"/>
  <cols>
    <col min="1" max="1" width="6" customWidth="1"/>
    <col min="2" max="2" width="20" customWidth="1"/>
    <col min="3" max="3" width="24" customWidth="1"/>
    <col min="4" max="4" width="16" customWidth="1"/>
    <col min="5" max="5" width="40" customWidth="1"/>
    <col min="6" max="6" width="52" customWidth="1"/>
    <col min="7" max="7" width="17.85546875" customWidth="1"/>
    <col min="8" max="8" width="18.28515625" customWidth="1"/>
    <col min="9" max="9" width="11.85546875" customWidth="1"/>
    <col min="10" max="10" width="18.28515625" customWidth="1"/>
    <col min="11" max="11" width="17.140625" customWidth="1"/>
    <col min="12" max="12" width="11.5703125" customWidth="1"/>
    <col min="13" max="13" width="34" customWidth="1"/>
  </cols>
  <sheetData>
    <row r="1" spans="1:13" ht="24" customHeight="1" x14ac:dyDescent="0.25">
      <c r="A1" s="13" t="s">
        <v>19</v>
      </c>
      <c r="B1" s="13"/>
      <c r="C1" s="13"/>
      <c r="D1" s="13"/>
      <c r="E1" s="13"/>
      <c r="F1" s="13"/>
      <c r="G1" s="13"/>
      <c r="H1" s="13"/>
      <c r="I1" s="13"/>
      <c r="J1" s="13"/>
      <c r="K1" s="13"/>
      <c r="L1" s="13"/>
      <c r="M1" s="13"/>
    </row>
    <row r="2" spans="1:13" ht="75" x14ac:dyDescent="0.25">
      <c r="A2" s="14" t="s">
        <v>20</v>
      </c>
      <c r="B2" s="14" t="s">
        <v>21</v>
      </c>
      <c r="C2" s="14" t="s">
        <v>22</v>
      </c>
      <c r="D2" s="14" t="s">
        <v>23</v>
      </c>
      <c r="E2" s="14" t="s">
        <v>24</v>
      </c>
      <c r="F2" s="14" t="s">
        <v>25</v>
      </c>
      <c r="G2" s="14" t="s">
        <v>26</v>
      </c>
      <c r="H2" s="14" t="s">
        <v>27</v>
      </c>
      <c r="I2" s="14" t="s">
        <v>28</v>
      </c>
      <c r="J2" s="14" t="s">
        <v>29</v>
      </c>
      <c r="K2" s="14" t="s">
        <v>30</v>
      </c>
      <c r="L2" s="14" t="s">
        <v>31</v>
      </c>
      <c r="M2" s="14" t="s">
        <v>32</v>
      </c>
    </row>
    <row r="3" spans="1:13" ht="112.5" x14ac:dyDescent="0.3">
      <c r="A3" s="14" t="s">
        <v>33</v>
      </c>
      <c r="B3" s="15" t="s">
        <v>34</v>
      </c>
      <c r="C3" s="15" t="s">
        <v>35</v>
      </c>
      <c r="D3" s="15" t="s">
        <v>36</v>
      </c>
      <c r="E3" s="16" t="s">
        <v>37</v>
      </c>
      <c r="F3" s="16" t="s">
        <v>38</v>
      </c>
      <c r="G3" s="15"/>
      <c r="H3" s="15"/>
      <c r="I3" s="15"/>
      <c r="J3" s="15"/>
      <c r="K3" s="15"/>
      <c r="L3" s="14">
        <f t="shared" ref="L3:L22" si="0">SUM(G3:K3)</f>
        <v>0</v>
      </c>
      <c r="M3" s="17"/>
    </row>
    <row r="4" spans="1:13" ht="112.5" x14ac:dyDescent="0.3">
      <c r="A4" s="14" t="s">
        <v>39</v>
      </c>
      <c r="B4" s="15" t="s">
        <v>34</v>
      </c>
      <c r="C4" s="15" t="s">
        <v>40</v>
      </c>
      <c r="D4" s="15" t="s">
        <v>36</v>
      </c>
      <c r="E4" s="16" t="s">
        <v>41</v>
      </c>
      <c r="F4" s="16" t="s">
        <v>42</v>
      </c>
      <c r="G4" s="15"/>
      <c r="H4" s="15"/>
      <c r="I4" s="15"/>
      <c r="J4" s="15"/>
      <c r="K4" s="15"/>
      <c r="L4" s="14">
        <f t="shared" si="0"/>
        <v>0</v>
      </c>
      <c r="M4" s="17"/>
    </row>
    <row r="5" spans="1:13" ht="112.5" x14ac:dyDescent="0.3">
      <c r="A5" s="14" t="s">
        <v>43</v>
      </c>
      <c r="B5" s="15" t="s">
        <v>34</v>
      </c>
      <c r="C5" s="15" t="s">
        <v>44</v>
      </c>
      <c r="D5" s="15" t="s">
        <v>36</v>
      </c>
      <c r="E5" s="16" t="s">
        <v>45</v>
      </c>
      <c r="F5" s="16" t="s">
        <v>46</v>
      </c>
      <c r="G5" s="15"/>
      <c r="H5" s="15"/>
      <c r="I5" s="15"/>
      <c r="J5" s="15"/>
      <c r="K5" s="15"/>
      <c r="L5" s="14">
        <f t="shared" si="0"/>
        <v>0</v>
      </c>
      <c r="M5" s="17"/>
    </row>
    <row r="6" spans="1:13" ht="93.75" x14ac:dyDescent="0.3">
      <c r="A6" s="14" t="s">
        <v>47</v>
      </c>
      <c r="B6" s="15" t="s">
        <v>34</v>
      </c>
      <c r="C6" s="15" t="s">
        <v>48</v>
      </c>
      <c r="D6" s="15" t="s">
        <v>36</v>
      </c>
      <c r="E6" s="16" t="s">
        <v>49</v>
      </c>
      <c r="F6" s="16" t="s">
        <v>50</v>
      </c>
      <c r="G6" s="15"/>
      <c r="H6" s="15"/>
      <c r="I6" s="15"/>
      <c r="J6" s="15"/>
      <c r="K6" s="15"/>
      <c r="L6" s="14">
        <f t="shared" si="0"/>
        <v>0</v>
      </c>
      <c r="M6" s="17"/>
    </row>
    <row r="7" spans="1:13" ht="75" x14ac:dyDescent="0.3">
      <c r="A7" s="14" t="s">
        <v>51</v>
      </c>
      <c r="B7" s="15" t="s">
        <v>34</v>
      </c>
      <c r="C7" s="15" t="s">
        <v>52</v>
      </c>
      <c r="D7" s="15" t="s">
        <v>36</v>
      </c>
      <c r="E7" s="16" t="s">
        <v>53</v>
      </c>
      <c r="F7" s="16" t="s">
        <v>54</v>
      </c>
      <c r="G7" s="15"/>
      <c r="H7" s="15"/>
      <c r="I7" s="15"/>
      <c r="J7" s="15"/>
      <c r="K7" s="15"/>
      <c r="L7" s="14">
        <f t="shared" si="0"/>
        <v>0</v>
      </c>
      <c r="M7" s="17"/>
    </row>
    <row r="8" spans="1:13" ht="75" x14ac:dyDescent="0.3">
      <c r="A8" s="14" t="s">
        <v>55</v>
      </c>
      <c r="B8" s="15" t="s">
        <v>34</v>
      </c>
      <c r="C8" s="15" t="s">
        <v>35</v>
      </c>
      <c r="D8" s="15" t="s">
        <v>36</v>
      </c>
      <c r="E8" s="16" t="s">
        <v>56</v>
      </c>
      <c r="F8" s="16" t="s">
        <v>57</v>
      </c>
      <c r="G8" s="15"/>
      <c r="H8" s="15"/>
      <c r="I8" s="15"/>
      <c r="J8" s="15"/>
      <c r="K8" s="15"/>
      <c r="L8" s="14">
        <f t="shared" si="0"/>
        <v>0</v>
      </c>
      <c r="M8" s="17"/>
    </row>
    <row r="9" spans="1:13" ht="93.75" x14ac:dyDescent="0.3">
      <c r="A9" s="14" t="s">
        <v>58</v>
      </c>
      <c r="B9" s="15" t="s">
        <v>59</v>
      </c>
      <c r="C9" s="15" t="s">
        <v>35</v>
      </c>
      <c r="D9" s="15" t="s">
        <v>60</v>
      </c>
      <c r="E9" s="16" t="s">
        <v>61</v>
      </c>
      <c r="F9" s="16" t="s">
        <v>62</v>
      </c>
      <c r="G9" s="15"/>
      <c r="H9" s="15"/>
      <c r="I9" s="15"/>
      <c r="J9" s="15"/>
      <c r="K9" s="15"/>
      <c r="L9" s="14">
        <f t="shared" si="0"/>
        <v>0</v>
      </c>
      <c r="M9" s="17"/>
    </row>
    <row r="10" spans="1:13" ht="93.75" x14ac:dyDescent="0.3">
      <c r="A10" s="14" t="s">
        <v>63</v>
      </c>
      <c r="B10" s="15" t="s">
        <v>59</v>
      </c>
      <c r="C10" s="15" t="s">
        <v>40</v>
      </c>
      <c r="D10" s="15" t="s">
        <v>60</v>
      </c>
      <c r="E10" s="16" t="s">
        <v>64</v>
      </c>
      <c r="F10" s="16" t="s">
        <v>65</v>
      </c>
      <c r="G10" s="15"/>
      <c r="H10" s="15"/>
      <c r="I10" s="15"/>
      <c r="J10" s="15"/>
      <c r="K10" s="15"/>
      <c r="L10" s="14">
        <f t="shared" si="0"/>
        <v>0</v>
      </c>
      <c r="M10" s="17"/>
    </row>
    <row r="11" spans="1:13" ht="112.5" x14ac:dyDescent="0.3">
      <c r="A11" s="14" t="s">
        <v>66</v>
      </c>
      <c r="B11" s="15" t="s">
        <v>67</v>
      </c>
      <c r="C11" s="15" t="s">
        <v>35</v>
      </c>
      <c r="D11" s="15" t="s">
        <v>68</v>
      </c>
      <c r="E11" s="16" t="s">
        <v>69</v>
      </c>
      <c r="F11" s="16" t="s">
        <v>70</v>
      </c>
      <c r="G11" s="15"/>
      <c r="H11" s="15"/>
      <c r="I11" s="15"/>
      <c r="J11" s="15"/>
      <c r="K11" s="15"/>
      <c r="L11" s="14">
        <f t="shared" si="0"/>
        <v>0</v>
      </c>
      <c r="M11" s="17"/>
    </row>
    <row r="12" spans="1:13" ht="75" x14ac:dyDescent="0.3">
      <c r="A12" s="14" t="s">
        <v>71</v>
      </c>
      <c r="B12" s="15" t="s">
        <v>67</v>
      </c>
      <c r="C12" s="15" t="s">
        <v>52</v>
      </c>
      <c r="D12" s="15" t="s">
        <v>68</v>
      </c>
      <c r="E12" s="16" t="s">
        <v>72</v>
      </c>
      <c r="F12" s="16" t="s">
        <v>73</v>
      </c>
      <c r="G12" s="15"/>
      <c r="H12" s="15"/>
      <c r="I12" s="15"/>
      <c r="J12" s="15"/>
      <c r="K12" s="15"/>
      <c r="L12" s="14">
        <f t="shared" si="0"/>
        <v>0</v>
      </c>
      <c r="M12" s="17"/>
    </row>
    <row r="13" spans="1:13" ht="93.75" x14ac:dyDescent="0.3">
      <c r="A13" s="14" t="s">
        <v>74</v>
      </c>
      <c r="B13" s="15" t="s">
        <v>75</v>
      </c>
      <c r="C13" s="15" t="s">
        <v>35</v>
      </c>
      <c r="D13" s="15" t="s">
        <v>76</v>
      </c>
      <c r="E13" s="16" t="s">
        <v>77</v>
      </c>
      <c r="F13" s="16" t="s">
        <v>78</v>
      </c>
      <c r="G13" s="15"/>
      <c r="H13" s="15"/>
      <c r="I13" s="15"/>
      <c r="J13" s="15"/>
      <c r="K13" s="15"/>
      <c r="L13" s="14">
        <f t="shared" si="0"/>
        <v>0</v>
      </c>
      <c r="M13" s="17"/>
    </row>
    <row r="14" spans="1:13" ht="93.75" x14ac:dyDescent="0.3">
      <c r="A14" s="14" t="s">
        <v>79</v>
      </c>
      <c r="B14" s="15" t="s">
        <v>75</v>
      </c>
      <c r="C14" s="15" t="s">
        <v>44</v>
      </c>
      <c r="D14" s="15" t="s">
        <v>80</v>
      </c>
      <c r="E14" s="16" t="s">
        <v>81</v>
      </c>
      <c r="F14" s="16" t="s">
        <v>82</v>
      </c>
      <c r="G14" s="15"/>
      <c r="H14" s="15"/>
      <c r="I14" s="15"/>
      <c r="J14" s="15"/>
      <c r="K14" s="15"/>
      <c r="L14" s="14">
        <f t="shared" si="0"/>
        <v>0</v>
      </c>
      <c r="M14" s="17"/>
    </row>
    <row r="15" spans="1:13" ht="93.75" x14ac:dyDescent="0.3">
      <c r="A15" s="14" t="s">
        <v>83</v>
      </c>
      <c r="B15" s="15" t="s">
        <v>84</v>
      </c>
      <c r="C15" s="15" t="s">
        <v>35</v>
      </c>
      <c r="D15" s="15" t="s">
        <v>85</v>
      </c>
      <c r="E15" s="16" t="s">
        <v>86</v>
      </c>
      <c r="F15" s="16" t="s">
        <v>87</v>
      </c>
      <c r="G15" s="15"/>
      <c r="H15" s="15"/>
      <c r="I15" s="15"/>
      <c r="J15" s="15"/>
      <c r="K15" s="15"/>
      <c r="L15" s="14">
        <f t="shared" si="0"/>
        <v>0</v>
      </c>
      <c r="M15" s="17"/>
    </row>
    <row r="16" spans="1:13" ht="112.5" x14ac:dyDescent="0.3">
      <c r="A16" s="14" t="s">
        <v>88</v>
      </c>
      <c r="B16" s="15" t="s">
        <v>89</v>
      </c>
      <c r="C16" s="15" t="s">
        <v>90</v>
      </c>
      <c r="D16" s="15" t="s">
        <v>91</v>
      </c>
      <c r="E16" s="16" t="s">
        <v>92</v>
      </c>
      <c r="F16" s="16" t="s">
        <v>93</v>
      </c>
      <c r="G16" s="15"/>
      <c r="H16" s="15"/>
      <c r="I16" s="15"/>
      <c r="J16" s="15"/>
      <c r="K16" s="15"/>
      <c r="L16" s="14">
        <f t="shared" si="0"/>
        <v>0</v>
      </c>
      <c r="M16" s="17"/>
    </row>
    <row r="17" spans="1:13" ht="75" x14ac:dyDescent="0.3">
      <c r="A17" s="14" t="s">
        <v>94</v>
      </c>
      <c r="B17" s="15" t="s">
        <v>89</v>
      </c>
      <c r="C17" s="15" t="s">
        <v>95</v>
      </c>
      <c r="D17" s="15" t="s">
        <v>91</v>
      </c>
      <c r="E17" s="16" t="s">
        <v>96</v>
      </c>
      <c r="F17" s="16" t="s">
        <v>97</v>
      </c>
      <c r="G17" s="15"/>
      <c r="H17" s="15"/>
      <c r="I17" s="15"/>
      <c r="J17" s="15"/>
      <c r="K17" s="15"/>
      <c r="L17" s="14">
        <f t="shared" si="0"/>
        <v>0</v>
      </c>
      <c r="M17" s="17"/>
    </row>
    <row r="18" spans="1:13" ht="75" x14ac:dyDescent="0.3">
      <c r="A18" s="14" t="s">
        <v>98</v>
      </c>
      <c r="B18" s="15" t="s">
        <v>99</v>
      </c>
      <c r="C18" s="15" t="s">
        <v>35</v>
      </c>
      <c r="D18" s="15" t="s">
        <v>100</v>
      </c>
      <c r="E18" s="16" t="s">
        <v>101</v>
      </c>
      <c r="F18" s="16" t="s">
        <v>102</v>
      </c>
      <c r="G18" s="15"/>
      <c r="H18" s="15"/>
      <c r="I18" s="15"/>
      <c r="J18" s="15"/>
      <c r="K18" s="15"/>
      <c r="L18" s="14">
        <f t="shared" si="0"/>
        <v>0</v>
      </c>
      <c r="M18" s="17"/>
    </row>
    <row r="19" spans="1:13" ht="56.25" x14ac:dyDescent="0.3">
      <c r="A19" s="14" t="s">
        <v>103</v>
      </c>
      <c r="B19" s="15" t="s">
        <v>104</v>
      </c>
      <c r="C19" s="15" t="s">
        <v>105</v>
      </c>
      <c r="D19" s="15" t="s">
        <v>100</v>
      </c>
      <c r="E19" s="16" t="s">
        <v>106</v>
      </c>
      <c r="F19" s="16" t="s">
        <v>107</v>
      </c>
      <c r="G19" s="15"/>
      <c r="H19" s="15"/>
      <c r="I19" s="15"/>
      <c r="J19" s="15"/>
      <c r="K19" s="15"/>
      <c r="L19" s="14">
        <f t="shared" si="0"/>
        <v>0</v>
      </c>
      <c r="M19" s="17"/>
    </row>
    <row r="20" spans="1:13" ht="75" x14ac:dyDescent="0.3">
      <c r="A20" s="14" t="s">
        <v>108</v>
      </c>
      <c r="B20" s="15" t="s">
        <v>109</v>
      </c>
      <c r="C20" s="15" t="s">
        <v>110</v>
      </c>
      <c r="D20" s="15" t="s">
        <v>76</v>
      </c>
      <c r="E20" s="16" t="s">
        <v>111</v>
      </c>
      <c r="F20" s="16" t="s">
        <v>112</v>
      </c>
      <c r="G20" s="15"/>
      <c r="H20" s="15"/>
      <c r="I20" s="15"/>
      <c r="J20" s="15"/>
      <c r="K20" s="15"/>
      <c r="L20" s="14">
        <f t="shared" si="0"/>
        <v>0</v>
      </c>
      <c r="M20" s="17"/>
    </row>
    <row r="21" spans="1:13" ht="75" x14ac:dyDescent="0.3">
      <c r="A21" s="14" t="s">
        <v>113</v>
      </c>
      <c r="B21" s="15" t="s">
        <v>114</v>
      </c>
      <c r="C21" s="15" t="s">
        <v>115</v>
      </c>
      <c r="D21" s="15" t="s">
        <v>76</v>
      </c>
      <c r="E21" s="16" t="s">
        <v>116</v>
      </c>
      <c r="F21" s="16" t="s">
        <v>117</v>
      </c>
      <c r="G21" s="15"/>
      <c r="H21" s="15"/>
      <c r="I21" s="15"/>
      <c r="J21" s="15"/>
      <c r="K21" s="15"/>
      <c r="L21" s="14">
        <f t="shared" si="0"/>
        <v>0</v>
      </c>
      <c r="M21" s="17"/>
    </row>
    <row r="22" spans="1:13" ht="75" x14ac:dyDescent="0.3">
      <c r="A22" s="14" t="s">
        <v>118</v>
      </c>
      <c r="B22" s="15" t="s">
        <v>119</v>
      </c>
      <c r="C22" s="15" t="s">
        <v>48</v>
      </c>
      <c r="D22" s="15" t="s">
        <v>68</v>
      </c>
      <c r="E22" s="16" t="s">
        <v>120</v>
      </c>
      <c r="F22" s="16" t="s">
        <v>121</v>
      </c>
      <c r="G22" s="15"/>
      <c r="H22" s="15"/>
      <c r="I22" s="15"/>
      <c r="J22" s="15"/>
      <c r="K22" s="15"/>
      <c r="L22" s="14">
        <f t="shared" si="0"/>
        <v>0</v>
      </c>
      <c r="M22" s="17"/>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showGridLines="0" zoomScaleNormal="100" workbookViewId="0">
      <selection activeCell="B16" sqref="B16"/>
    </sheetView>
  </sheetViews>
  <sheetFormatPr baseColWidth="10" defaultColWidth="8.7109375" defaultRowHeight="15" x14ac:dyDescent="0.25"/>
  <cols>
    <col min="1" max="1" width="34" customWidth="1"/>
    <col min="2" max="2" width="12" customWidth="1"/>
  </cols>
  <sheetData>
    <row r="1" spans="1:2" ht="18" x14ac:dyDescent="0.25">
      <c r="A1" s="18" t="s">
        <v>122</v>
      </c>
      <c r="B1" s="19"/>
    </row>
    <row r="2" spans="1:2" x14ac:dyDescent="0.25">
      <c r="A2" s="20" t="s">
        <v>123</v>
      </c>
      <c r="B2" s="19"/>
    </row>
    <row r="3" spans="1:2" x14ac:dyDescent="0.25">
      <c r="A3" s="19"/>
      <c r="B3" s="19"/>
    </row>
    <row r="4" spans="1:2" x14ac:dyDescent="0.25">
      <c r="A4" s="21" t="s">
        <v>124</v>
      </c>
      <c r="B4" s="22" t="s">
        <v>125</v>
      </c>
    </row>
    <row r="5" spans="1:2" x14ac:dyDescent="0.25">
      <c r="A5" s="23" t="s">
        <v>126</v>
      </c>
      <c r="B5" s="24">
        <f>COUNTIF(Evaluación!L3:L22,"&gt;0")</f>
        <v>0</v>
      </c>
    </row>
    <row r="6" spans="1:2" x14ac:dyDescent="0.25">
      <c r="A6" s="23" t="s">
        <v>127</v>
      </c>
      <c r="B6" s="24">
        <f>IFERROR(AVERAGEIF(Evaluación!G3:G22,"&lt;&gt;",Evaluación!G3:G22),0)</f>
        <v>0</v>
      </c>
    </row>
    <row r="7" spans="1:2" x14ac:dyDescent="0.25">
      <c r="A7" s="23" t="s">
        <v>128</v>
      </c>
      <c r="B7" s="24">
        <f>IFERROR(AVERAGE(Evaluación!H3:H22),0)</f>
        <v>0</v>
      </c>
    </row>
    <row r="8" spans="1:2" x14ac:dyDescent="0.25">
      <c r="A8" s="23" t="s">
        <v>129</v>
      </c>
      <c r="B8" s="24">
        <f>IFERROR(AVERAGE(Evaluación!I3:I22),0)</f>
        <v>0</v>
      </c>
    </row>
    <row r="9" spans="1:2" x14ac:dyDescent="0.25">
      <c r="A9" s="23" t="s">
        <v>130</v>
      </c>
      <c r="B9" s="24">
        <f>IFERROR(AVERAGE(Evaluación!J3:J22),0)</f>
        <v>0</v>
      </c>
    </row>
    <row r="10" spans="1:2" x14ac:dyDescent="0.25">
      <c r="A10" s="23" t="s">
        <v>131</v>
      </c>
      <c r="B10" s="24">
        <f>IFERROR(AVERAGE(Evaluación!K3:K22),0)</f>
        <v>0</v>
      </c>
    </row>
    <row r="11" spans="1:2" x14ac:dyDescent="0.25">
      <c r="A11" s="23" t="s">
        <v>132</v>
      </c>
      <c r="B11" s="24">
        <f>IFERROR(AVERAGEIF(Evaluación!L3:L22,"&gt;0"),0)</f>
        <v>0</v>
      </c>
    </row>
    <row r="12" spans="1:2" x14ac:dyDescent="0.25">
      <c r="A12" s="23" t="s">
        <v>133</v>
      </c>
      <c r="B12" s="24">
        <f>COUNTIF(Evaluación!L3:L22,"&gt;=7")</f>
        <v>0</v>
      </c>
    </row>
    <row r="13" spans="1:2" x14ac:dyDescent="0.25">
      <c r="A13" s="23" t="s">
        <v>134</v>
      </c>
      <c r="B13" s="25">
        <f>IFERROR(COUNTIF(Evaluación!L3:L22,"&gt;=7")/COUNTIF(Evaluación!L3:L22,"&gt;0"),0)</f>
        <v>0</v>
      </c>
    </row>
    <row r="14" spans="1:2" x14ac:dyDescent="0.25">
      <c r="A14" s="12"/>
      <c r="B14" s="12"/>
    </row>
  </sheetData>
  <phoneticPr fontId="9"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Rúbrica</vt:lpstr>
      <vt:lpstr>Evaluación</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Benny B. Chávez</cp:lastModifiedBy>
  <cp:revision>0</cp:revision>
  <dcterms:created xsi:type="dcterms:W3CDTF">2026-06-20T00:09:13Z</dcterms:created>
  <dcterms:modified xsi:type="dcterms:W3CDTF">2026-06-20T02:18:53Z</dcterms:modified>
  <dc:language>en-US</dc:language>
</cp:coreProperties>
</file>